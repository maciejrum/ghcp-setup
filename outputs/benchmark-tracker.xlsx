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893aab969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ównanie" sheetId="1" r:id="R18c3b3439d104b27"/>
    <x:sheet xmlns:r="http://schemas.openxmlformats.org/officeDocument/2006/relationships" name="Pomiary" sheetId="2" r:id="Rfaca449e1e1b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sz val="10"/>
      <x:color rgb="FF202C3A"/>
      <x:name val="Arial"/>
    </x:font>
    <x:font>
      <x:b/>
      <x:sz val="16"/>
      <x:color rgb="FF20364D"/>
      <x:name val="Arial"/>
    </x:font>
    <x:font>
      <x:i/>
      <x:sz val="10"/>
      <x:color rgb="FF202C3A"/>
      <x:name val="Arial"/>
    </x:font>
    <x:font>
      <x:b/>
      <x:sz val="10"/>
      <x:color rgb="FFFFFFFF"/>
      <x:name val="Arial"/>
    </x:font>
    <x:font>
      <x:b/>
      <x:sz val="10"/>
      <x:color rgb="FF202C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64D"/>
      </x:patternFill>
    </x:fill>
    <x:fill>
      <x:patternFill patternType="solid">
        <x:fgColor rgb="FFF4F7FA"/>
      </x:patternFill>
    </x:fill>
    <x:fill>
      <x:patternFill patternType="solid">
        <x:fgColor rgb="FFFFF3CE"/>
      </x:patternFill>
    </x:fill>
    <x:fill>
      <x:patternFill patternType="solid">
        <x:fgColor rgb="FFE7EDF4"/>
      </x:patternFill>
    </x:fill>
  </x:fills>
  <x:borders count="5">
    <x:border/>
    <x:border>
      <x:bottom style="thin">
        <x:color rgb="FF416B9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ont>
        <x:b/>
        <x:color rgb="FFAA2430"/>
      </x:font>
      <x:fill>
        <x:patternFill patternType="solid">
          <x:bgColor rgb="FFFCE4E5"/>
        </x:patternFill>
      </x:fill>
    </x:dxf>
    <x:dxf>
      <x:font>
        <x:b/>
        <x:color rgb="FFAA2430"/>
      </x:font>
      <x:fill>
        <x:patternFill patternType="solid">
          <x:bgColor rgb="FFFCE4E5"/>
        </x:patternFill>
      </x:fill>
    </x:dxf>
    <x:dxf>
      <x:font>
        <x:b/>
        <x:color rgb="FFAA2430"/>
      </x:font>
      <x:fill>
        <x:patternFill patternType="solid">
          <x:bgColor rgb="FFFCE4E5"/>
        </x:patternFill>
      </x:fill>
    </x:dxf>
    <x:dxf>
      <x:font>
        <x:b/>
        <x:color rgb="FFAA2430"/>
      </x:font>
      <x:fill>
        <x:patternFill patternType="solid">
          <x:bgColor rgb="FFFCE4E5"/>
        </x:patternFill>
      </x:fill>
    </x:dxf>
    <x:dxf>
      <x:font>
        <x:b/>
        <x:color rgb="FFAA2430"/>
      </x:font>
      <x:fill>
        <x:patternFill patternType="solid">
          <x:bgColor rgb="FFFCE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30f35ae8a4414" /><Relationship Type="http://schemas.openxmlformats.org/officeDocument/2006/relationships/theme" Target="/xl/theme/theme1.xml" Id="Rfb7626f230984af9" /><Relationship Type="http://schemas.openxmlformats.org/officeDocument/2006/relationships/sharedStrings" Target="/xl/sharedStrings.xml" Id="R883212b745104b9b" /><Relationship Type="http://schemas.openxmlformats.org/officeDocument/2006/relationships/worksheet" Target="/xl/worksheets/sheet1.xml" Id="R18c3b3439d104b27" /><Relationship Type="http://schemas.openxmlformats.org/officeDocument/2006/relationships/worksheet" Target="/xl/worksheets/sheet2.xml" Id="Rfaca449e1e1b4296" /></Relationships>
</file>

<file path=xl/tables/table1.xml><?xml version="1.0" encoding="utf-8"?>
<x:table xmlns:x="http://schemas.openxmlformats.org/spreadsheetml/2006/main" id="1" name="PomiaryBenchmarku" displayName="PomiaryBenchmarku" ref="A5:AB11" headerRowCount="1" totalsRowCount="0" totalsRowShown="0">
  <x:autoFilter ref="A5:AB11"/>
  <x:tableColumns count="28">
    <x:tableColumn id="1" name="Para"/>
    <x:tableColumn id="2" name="Wariant"/>
    <x:tableColumn id="3" name="Status"/>
    <x:tableColumn id="4" name="Kolejność&#10;wykonania"/>
    <x:tableColumn id="5" name="Wersja&#10;początkowa"/>
    <x:tableColumn id="6" name="Modele faktycznie&#10;użyte"/>
    <x:tableColumn id="7" name="Credits&#10;przed"/>
    <x:tableColumn id="8" name="Credits&#10;po"/>
    <x:tableColumn id="9" name="Zużyte&#10;credits"/>
    <x:tableColumn id="10" name="Źródło pomiaru&#10;credits"/>
    <x:tableColumn id="11" name="Czas agenta&#10;(min)"/>
    <x:tableColumn id="12" name="Czas do weryfikacji&#10;(min)"/>
    <x:tableColumn id="13" name="Interwencje&#10;człowieka"/>
    <x:tableColumn id="14" name="Prośby&#10;o zgodę"/>
    <x:tableColumn id="15" name="Rundy&#10;poprawek"/>
    <x:tableColumn id="16" name="Testy&#10;API"/>
    <x:tableColumn id="17" name="Testy&#10;UI"/>
    <x:tableColumn id="18" name="Pozostałe błędy&#10;poważne"/>
    <x:tableColumn id="19" name="Pozostałe błędy&#10;drobne"/>
    <x:tableColumn id="20" name="Akceptacja"/>
    <x:tableColumn id="21" name="Jakość&#10;architektury"/>
    <x:tableColumn id="22" name="Jakość&#10;typów"/>
    <x:tableColumn id="23" name="Obsługa&#10;błędów"/>
    <x:tableColumn id="24" name="Jakość&#10;testów"/>
    <x:tableColumn id="25" name="Zgodność&#10;zakresu"/>
    <x:tableColumn id="26" name="Jakość&#10;łącznie (0–10)"/>
    <x:tableColumn id="27" name="Plik ze śladem&#10;wykonania"/>
    <x:tableColumn id="28" name="Uwag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5a2954ffaa4e31" /></Relationships>
</file>

<file path=xl/worksheets/sheet1.xml><?xml version="1.0" encoding="utf-8"?>
<x:worksheet xmlns:x="http://schemas.openxmlformats.org/spreadsheetml/2006/main">
  <x:sheetPr>
    <x:tabColor rgb="FF20364D"/>
  </x:sheetPr>
  <x:sheetViews>
    <x:sheetView showGridLines="0" workbookViewId="0"/>
  </x:sheetViews>
  <x:sheetFormatPr defaultRowHeight="15"/>
  <x:cols>
    <x:col min="1" max="1" width="42.779998779296875" hidden="0" customWidth="1"/>
    <x:col min="2" max="2" width="19.440000534057617" hidden="0" customWidth="1"/>
    <x:col min="3" max="3" width="19.440000534057617" hidden="0" customWidth="1"/>
    <x:col min="4" max="4" width="19.440000534057617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Benchmark Copilota</x:v>
      </x:c>
      <x:c r="B2" s="2"/>
      <x:c r="C2" s="2"/>
      <x:c r="D2" s="2"/>
    </x:row>
    <x:row r="3" ht="24" customHeight="1">
      <x:c r="A3" s="4" t="str">
        <x:v>A: standardowy Agent. B: zespół pięciu agentów.</x:v>
      </x:c>
      <x:c r="B3" s="2"/>
      <x:c r="C3" s="2"/>
      <x:c r="D3" s="2"/>
    </x:row>
    <x:row r="4" ht="24" customHeight="1">
      <x:c r="A4" s="5"/>
      <x:c r="B4" s="5"/>
      <x:c r="C4" s="5"/>
      <x:c r="D4" s="2"/>
    </x:row>
    <x:row r="5" ht="30" customHeight="1">
      <x:c r="A5" s="11" t="str">
        <x:v>Miara</x:v>
      </x:c>
      <x:c r="B5" s="12" t="str">
        <x:v>A · standardowy Agent</x:v>
      </x:c>
      <x:c r="C5" s="13" t="str">
        <x:v>B · zespół agentów</x:v>
      </x:c>
      <x:c r="D5" s="2"/>
    </x:row>
    <x:row r="6" ht="28" customHeight="1">
      <x:c r="A6" s="2" t="str">
        <x:v>Planowane próby</x:v>
      </x:c>
      <x:c r="B6" s="15" t="n">
        <x:f>COUNTIFS('Pomiary'!$B$6:$B$11,"A")</x:f>
        <x:v>3</x:v>
      </x:c>
      <x:c r="C6" s="15" t="n">
        <x:f>COUNTIFS('Pomiary'!$B$6:$B$11,"B")</x:f>
        <x:v>3</x:v>
      </x:c>
      <x:c r="D6" s="2"/>
    </x:row>
    <x:row r="7" ht="28" customHeight="1">
      <x:c r="A7" s="2" t="str">
        <x:v>Wykonane próby</x:v>
      </x:c>
      <x:c r="B7" s="15" t="n">
        <x:f>COUNTIFS('Pomiary'!$B$6:$B$11,"A",'Pomiary'!$C$6:$C$11,"&lt;&gt;NOT_RUN",'Pomiary'!$C$6:$C$11,"&lt;&gt;")</x:f>
        <x:v>0</x:v>
      </x:c>
      <x:c r="C7" s="15" t="n">
        <x:f>COUNTIFS('Pomiary'!$B$6:$B$11,"B",'Pomiary'!$C$6:$C$11,"&lt;&gt;NOT_RUN",'Pomiary'!$C$6:$C$11,"&lt;&gt;")</x:f>
        <x:v>0</x:v>
      </x:c>
      <x:c r="D7" s="2"/>
    </x:row>
    <x:row r="8" ht="28" customHeight="1">
      <x:c r="A8" s="2" t="str">
        <x:v>Ocenione próby</x:v>
      </x:c>
      <x:c r="B8" s="15" t="n">
        <x:f>COUNTIFS('Pomiary'!$B$6:$B$11,"A",'Pomiary'!$C$6:$C$11,"&lt;&gt;NOT_RUN",'Pomiary'!$C$6:$C$11,"&lt;&gt;",'Pomiary'!$T$6:$T$11,"YES")+COUNTIFS('Pomiary'!$B$6:$B$11,"A",'Pomiary'!$C$6:$C$11,"&lt;&gt;NOT_RUN",'Pomiary'!$C$6:$C$11,"&lt;&gt;",'Pomiary'!$T$6:$T$11,"NO")</x:f>
        <x:v>0</x:v>
      </x:c>
      <x:c r="C8" s="15" t="n">
        <x:f>COUNTIFS('Pomiary'!$B$6:$B$11,"B",'Pomiary'!$C$6:$C$11,"&lt;&gt;NOT_RUN",'Pomiary'!$C$6:$C$11,"&lt;&gt;",'Pomiary'!$T$6:$T$11,"YES")+COUNTIFS('Pomiary'!$B$6:$B$11,"B",'Pomiary'!$C$6:$C$11,"&lt;&gt;NOT_RUN",'Pomiary'!$C$6:$C$11,"&lt;&gt;",'Pomiary'!$T$6:$T$11,"NO")</x:f>
        <x:v>0</x:v>
      </x:c>
      <x:c r="D8" s="2"/>
    </x:row>
    <x:row r="9" ht="28" customHeight="1">
      <x:c r="A9" s="2" t="str">
        <x:v>Zaakceptowane próby</x:v>
      </x:c>
      <x:c r="B9" s="15" t="str">
        <x:f>IF(B8=0,"",COUNTIFS('Pomiary'!$B$6:$B$11,"A",'Pomiary'!$C$6:$C$11,"&lt;&gt;NOT_RUN",'Pomiary'!$C$6:$C$11,"&lt;&gt;",'Pomiary'!$T$6:$T$11,"YES"))</x:f>
      </x:c>
      <x:c r="C9" s="15" t="str">
        <x:f>IF(C8=0,"",COUNTIFS('Pomiary'!$B$6:$B$11,"B",'Pomiary'!$C$6:$C$11,"&lt;&gt;NOT_RUN",'Pomiary'!$C$6:$C$11,"&lt;&gt;",'Pomiary'!$T$6:$T$11,"YES"))</x:f>
      </x:c>
      <x:c r="D9" s="2"/>
    </x:row>
    <x:row r="10" ht="28" customHeight="1">
      <x:c r="A10" s="17" t="str">
        <x:v>Credits z wszystkich wykonanych prób</x:v>
      </x:c>
      <x:c r="B10" s="18" t="str">
        <x:f>IF(B7=0,"",IF(COUNTIFS('Pomiary'!$B$6:$B$11,"A",'Pomiary'!$C$6:$C$11,"&lt;&gt;NOT_RUN",'Pomiary'!$C$6:$C$11,"&lt;&gt;",'Pomiary'!$I$6:$I$11,"&lt;0")&gt;0,"Sprawdź ujemne credits",IF(SUMIFS($B$32:$B$37,'Pomiary'!$B$6:$B$11,"A",'Pomiary'!$C$6:$C$11,"&lt;&gt;NOT_RUN",'Pomiary'!$C$6:$C$11,"&lt;&gt;")=B7,SUMIFS('Pomiary'!$I$6:$I$11,'Pomiary'!$B$6:$B$11,"A",'Pomiary'!$C$6:$C$11,"&lt;&gt;NOT_RUN",'Pomiary'!$C$6:$C$11,"&lt;&gt;"),"")))</x:f>
      </x:c>
      <x:c r="C10" s="18" t="str">
        <x:f>IF(C7=0,"",IF(COUNTIFS('Pomiary'!$B$6:$B$11,"B",'Pomiary'!$C$6:$C$11,"&lt;&gt;NOT_RUN",'Pomiary'!$C$6:$C$11,"&lt;&gt;",'Pomiary'!$I$6:$I$11,"&lt;0")&gt;0,"Sprawdź ujemne credits",IF(SUMIFS($B$32:$B$37,'Pomiary'!$B$6:$B$11,"B",'Pomiary'!$C$6:$C$11,"&lt;&gt;NOT_RUN",'Pomiary'!$C$6:$C$11,"&lt;&gt;")=C7,SUMIFS('Pomiary'!$I$6:$I$11,'Pomiary'!$B$6:$B$11,"B",'Pomiary'!$C$6:$C$11,"&lt;&gt;NOT_RUN",'Pomiary'!$C$6:$C$11,"&lt;&gt;"),"")))</x:f>
      </x:c>
      <x:c r="D10" s="2"/>
    </x:row>
    <x:row r="11" ht="28" customHeight="1">
      <x:c r="A11" s="19" t="str">
        <x:v>Credits / zaakceptowaną zmianę</x:v>
      </x:c>
      <x:c r="B11" s="20" t="str">
        <x:f>IF(AND(ISNUMBER(B10),ISNUMBER(B9),B9&gt;0,B8=B7),B10/B9,"")</x:f>
      </x:c>
      <x:c r="C11" s="20" t="str">
        <x:f>IF(AND(ISNUMBER(C10),ISNUMBER(C9),C9&gt;0,C8=C7),C10/C9,"")</x:f>
      </x:c>
      <x:c r="D11" s="2"/>
    </x:row>
    <x:row r="12" ht="28" customHeight="1">
      <x:c r="A12" s="17" t="str">
        <x:v>Śr. czas do weryfikacji zaakceptowanych (min)</x:v>
      </x:c>
      <x:c r="B12" s="18" t="str">
        <x:f>IF(AND(ISNUMBER(B9),B9&gt;0,SUMIFS($C$32:$C$37,'Pomiary'!$B$6:$B$11,"A",'Pomiary'!$C$6:$C$11,"&lt;&gt;NOT_RUN",'Pomiary'!$C$6:$C$11,"&lt;&gt;",'Pomiary'!$T$6:$T$11,"YES")=B9),SUMIFS('Pomiary'!$L$6:$L$11,'Pomiary'!$B$6:$B$11,"A",'Pomiary'!$C$6:$C$11,"&lt;&gt;NOT_RUN",'Pomiary'!$C$6:$C$11,"&lt;&gt;",'Pomiary'!$T$6:$T$11,"YES")/B9,"")</x:f>
      </x:c>
      <x:c r="C12" s="18" t="str">
        <x:f>IF(AND(ISNUMBER(C9),C9&gt;0,SUMIFS($C$32:$C$37,'Pomiary'!$B$6:$B$11,"B",'Pomiary'!$C$6:$C$11,"&lt;&gt;NOT_RUN",'Pomiary'!$C$6:$C$11,"&lt;&gt;",'Pomiary'!$T$6:$T$11,"YES")=C9),SUMIFS('Pomiary'!$L$6:$L$11,'Pomiary'!$B$6:$B$11,"B",'Pomiary'!$C$6:$C$11,"&lt;&gt;NOT_RUN",'Pomiary'!$C$6:$C$11,"&lt;&gt;",'Pomiary'!$T$6:$T$11,"YES")/C9,"")</x:f>
      </x:c>
      <x:c r="D12" s="2"/>
    </x:row>
    <x:row r="13" ht="28" customHeight="1">
      <x:c r="A13" s="17" t="str">
        <x:v>Śr. jakość ocenionych prób (0–10)</x:v>
      </x:c>
      <x:c r="B13" s="18" t="str">
        <x:f>IF(AND(B8&gt;0,SUMIFS($D$32:$D$37,'Pomiary'!$B$6:$B$11,"A",'Pomiary'!$C$6:$C$11,"&lt;&gt;NOT_RUN",'Pomiary'!$C$6:$C$11,"&lt;&gt;",'Pomiary'!$T$6:$T$11,"YES")+SUMIFS($D$32:$D$37,'Pomiary'!$B$6:$B$11,"A",'Pomiary'!$C$6:$C$11,"&lt;&gt;NOT_RUN",'Pomiary'!$C$6:$C$11,"&lt;&gt;",'Pomiary'!$T$6:$T$11,"NO")=B8),(SUMIFS('Pomiary'!$Z$6:$Z$11,'Pomiary'!$B$6:$B$11,"A",'Pomiary'!$C$6:$C$11,"&lt;&gt;NOT_RUN",'Pomiary'!$C$6:$C$11,"&lt;&gt;",'Pomiary'!$T$6:$T$11,"YES")+SUMIFS('Pomiary'!$Z$6:$Z$11,'Pomiary'!$B$6:$B$11,"A",'Pomiary'!$C$6:$C$11,"&lt;&gt;NOT_RUN",'Pomiary'!$C$6:$C$11,"&lt;&gt;",'Pomiary'!$T$6:$T$11,"NO"))/B8,"")</x:f>
      </x:c>
      <x:c r="C13" s="18" t="str">
        <x:f>IF(AND(C8&gt;0,SUMIFS($D$32:$D$37,'Pomiary'!$B$6:$B$11,"B",'Pomiary'!$C$6:$C$11,"&lt;&gt;NOT_RUN",'Pomiary'!$C$6:$C$11,"&lt;&gt;",'Pomiary'!$T$6:$T$11,"YES")+SUMIFS($D$32:$D$37,'Pomiary'!$B$6:$B$11,"B",'Pomiary'!$C$6:$C$11,"&lt;&gt;NOT_RUN",'Pomiary'!$C$6:$C$11,"&lt;&gt;",'Pomiary'!$T$6:$T$11,"NO")=C8),(SUMIFS('Pomiary'!$Z$6:$Z$11,'Pomiary'!$B$6:$B$11,"B",'Pomiary'!$C$6:$C$11,"&lt;&gt;NOT_RUN",'Pomiary'!$C$6:$C$11,"&lt;&gt;",'Pomiary'!$T$6:$T$11,"YES")+SUMIFS('Pomiary'!$Z$6:$Z$11,'Pomiary'!$B$6:$B$11,"B",'Pomiary'!$C$6:$C$11,"&lt;&gt;NOT_RUN",'Pomiary'!$C$6:$C$11,"&lt;&gt;",'Pomiary'!$T$6:$T$11,"NO"))/C8,"")</x:f>
      </x:c>
      <x:c r="D13" s="2"/>
    </x:row>
    <x:row r="14" ht="24" customHeight="1">
      <x:c r="A14" s="2"/>
      <x:c r="B14" s="2"/>
      <x:c r="C14" s="2"/>
      <x:c r="D14" s="2"/>
    </x:row>
    <x:row r="15" ht="24" customHeight="1">
      <x:c r="A15" s="4" t="str">
        <x:v>Puste wyniki oznaczają brak pełnych danych.</x:v>
      </x:c>
      <x:c r="B15" s="2"/>
      <x:c r="C15" s="2"/>
      <x:c r="D15" s="2"/>
    </x:row>
    <x:row r="16" ht="24" customHeight="1">
      <x:c r="A16" s="4" t="str">
        <x:v>Koszt obejmuje też próby FAILED i BLOCKED.</x:v>
      </x:c>
      <x:c r="B16" s="2"/>
      <x:c r="C16" s="2"/>
      <x:c r="D16" s="2"/>
    </x:row>
    <x:row r="17" ht="24" customHeight="1">
      <x:c r="A17" s="4" t="str">
        <x:v>Koszt / zmianę wymaga oceny wszystkich prób.</x:v>
      </x:c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24" customHeight="1">
      <x:c r="A19" s="19" t="str">
        <x:v>Warunki pomiaru</x:v>
      </x:c>
      <x:c r="B19" s="19" t="str">
        <x:v>Wartość</x:v>
      </x:c>
      <x:c r="C19" s="19" t="str"/>
      <x:c r="D19" s="2"/>
    </x:row>
    <x:row r="20" ht="24" customHeight="1">
      <x:c r="A20" s="2" t="str">
        <x:v>Wersja VS Code</x:v>
      </x:c>
      <x:c r="B20" s="21"/>
      <x:c r="C20" s="21"/>
      <x:c r="D20" s="2"/>
    </x:row>
    <x:row r="21" ht="24" customHeight="1">
      <x:c r="A21" s="2" t="str">
        <x:v>Wersja rozszerzenia Copilot</x:v>
      </x:c>
      <x:c r="B21" s="21"/>
      <x:c r="C21" s="21"/>
      <x:c r="D21" s="2"/>
    </x:row>
    <x:row r="22" ht="24" customHeight="1">
      <x:c r="A22" s="2" t="str">
        <x:v>Tryb wykonania / harness</x:v>
      </x:c>
      <x:c r="B22" s="21"/>
      <x:c r="C22" s="21"/>
      <x:c r="D22" s="2"/>
    </x:row>
    <x:row r="23" ht="24" customHeight="1">
      <x:c r="A23" s="2" t="str">
        <x:v>Wersja konfiguracji agentów</x:v>
      </x:c>
      <x:c r="B23" s="21"/>
      <x:c r="C23" s="21"/>
      <x:c r="D23" s="2"/>
    </x:row>
    <x:row r="24" ht="24" customHeight="1">
      <x:c r="A24" s="2" t="str">
        <x:v>Data pomiarów</x:v>
      </x:c>
      <x:c r="B24" s="21"/>
      <x:c r="C24" s="21"/>
      <x:c r="D24" s="2"/>
    </x:row>
    <x:row r="25" ht="24" customHeight="1">
      <x:c r="A25" s="2"/>
      <x:c r="B25" s="2"/>
      <x:c r="C25" s="2"/>
      <x:c r="D25" s="2"/>
    </x:row>
    <x:row r="26" ht="24" customHeight="1">
      <x:c r="A26" s="2" t="str">
        <x:v>Żółte pola: pomiary. Szare pola: obliczenia.</x:v>
      </x:c>
      <x:c r="B26" s="2"/>
      <x:c r="C26" s="2"/>
      <x:c r="D26" s="2"/>
    </x:row>
    <x:row r="27" ht="24" customHeight="1">
      <x:c r="A27" s="2" t="str">
        <x:v>Akceptacja i jakość: według protokołu benchmarku.</x:v>
      </x:c>
      <x:c r="B27" s="2"/>
      <x:c r="C27" s="2"/>
      <x:c r="D27" s="2"/>
    </x:row>
    <x:row r="28" ht="24" customHeight="1">
      <x:c r="A28" s="2"/>
      <x:c r="B28" s="2"/>
      <x:c r="C28" s="2"/>
      <x:c r="D28" s="2"/>
    </x:row>
    <x:row r="29" ht="24" customHeight="1">
      <x:c r="A29" s="22" t="str">
        <x:v>Dane do obliczeń</x:v>
      </x:c>
      <x:c r="B29" s="2"/>
      <x:c r="C29" s="2"/>
      <x:c r="D29" s="2"/>
    </x:row>
    <x:row r="30" ht="24" customHeight="1">
      <x:c r="A30" s="4" t="str">
        <x:v>1 = liczba. 0 = brak liczby. Puste = NOT_RUN.</x:v>
      </x:c>
      <x:c r="B30" s="2"/>
      <x:c r="C30" s="2"/>
      <x:c r="D30" s="2"/>
    </x:row>
    <x:row r="31" ht="24" customHeight="1">
      <x:c r="A31" s="23" t="str">
        <x:v>Próba</x:v>
      </x:c>
      <x:c r="B31" s="23" t="str">
        <x:v>Pomiar credits</x:v>
      </x:c>
      <x:c r="C31" s="23" t="str">
        <x:v>Pomiar czasu</x:v>
      </x:c>
      <x:c r="D31" s="23" t="str">
        <x:v>Ocena jakości</x:v>
      </x:c>
    </x:row>
    <x:row r="32" ht="24" customHeight="1">
      <x:c r="A32" s="2" t="str">
        <x:v>1A</x:v>
      </x:c>
      <x:c r="B32" s="15" t="str">
        <x:f>IF(OR('Pomiary'!C6="NOT_RUN",'Pomiary'!C6=""),"",IF(ISNUMBER('Pomiary'!I6),1,0))</x:f>
      </x:c>
      <x:c r="C32" s="15" t="str">
        <x:f>IF(OR('Pomiary'!C6="NOT_RUN",'Pomiary'!C6=""),"",IF(ISNUMBER('Pomiary'!L6),1,0))</x:f>
      </x:c>
      <x:c r="D32" s="15" t="str">
        <x:f>IF(OR('Pomiary'!C6="NOT_RUN",'Pomiary'!C6=""),"",IF(ISNUMBER('Pomiary'!Z6),1,0))</x:f>
      </x:c>
    </x:row>
    <x:row r="33" ht="24" customHeight="1">
      <x:c r="A33" s="2" t="str">
        <x:v>1B</x:v>
      </x:c>
      <x:c r="B33" s="15" t="str">
        <x:f>IF(OR('Pomiary'!C7="NOT_RUN",'Pomiary'!C7=""),"",IF(ISNUMBER('Pomiary'!I7),1,0))</x:f>
      </x:c>
      <x:c r="C33" s="15" t="str">
        <x:f>IF(OR('Pomiary'!C7="NOT_RUN",'Pomiary'!C7=""),"",IF(ISNUMBER('Pomiary'!L7),1,0))</x:f>
      </x:c>
      <x:c r="D33" s="15" t="str">
        <x:f>IF(OR('Pomiary'!C7="NOT_RUN",'Pomiary'!C7=""),"",IF(ISNUMBER('Pomiary'!Z7),1,0))</x:f>
      </x:c>
    </x:row>
    <x:row r="34" ht="24" customHeight="1">
      <x:c r="A34" s="2" t="str">
        <x:v>2A</x:v>
      </x:c>
      <x:c r="B34" s="15" t="str">
        <x:f>IF(OR('Pomiary'!C8="NOT_RUN",'Pomiary'!C8=""),"",IF(ISNUMBER('Pomiary'!I8),1,0))</x:f>
      </x:c>
      <x:c r="C34" s="15" t="str">
        <x:f>IF(OR('Pomiary'!C8="NOT_RUN",'Pomiary'!C8=""),"",IF(ISNUMBER('Pomiary'!L8),1,0))</x:f>
      </x:c>
      <x:c r="D34" s="15" t="str">
        <x:f>IF(OR('Pomiary'!C8="NOT_RUN",'Pomiary'!C8=""),"",IF(ISNUMBER('Pomiary'!Z8),1,0))</x:f>
      </x:c>
    </x:row>
    <x:row r="35" ht="24" customHeight="1">
      <x:c r="A35" s="2" t="str">
        <x:v>2B</x:v>
      </x:c>
      <x:c r="B35" s="15" t="str">
        <x:f>IF(OR('Pomiary'!C9="NOT_RUN",'Pomiary'!C9=""),"",IF(ISNUMBER('Pomiary'!I9),1,0))</x:f>
      </x:c>
      <x:c r="C35" s="15" t="str">
        <x:f>IF(OR('Pomiary'!C9="NOT_RUN",'Pomiary'!C9=""),"",IF(ISNUMBER('Pomiary'!L9),1,0))</x:f>
      </x:c>
      <x:c r="D35" s="15" t="str">
        <x:f>IF(OR('Pomiary'!C9="NOT_RUN",'Pomiary'!C9=""),"",IF(ISNUMBER('Pomiary'!Z9),1,0))</x:f>
      </x:c>
    </x:row>
    <x:row r="36" ht="24" customHeight="1">
      <x:c r="A36" s="2" t="str">
        <x:v>3A</x:v>
      </x:c>
      <x:c r="B36" s="15" t="str">
        <x:f>IF(OR('Pomiary'!C10="NOT_RUN",'Pomiary'!C10=""),"",IF(ISNUMBER('Pomiary'!I10),1,0))</x:f>
      </x:c>
      <x:c r="C36" s="15" t="str">
        <x:f>IF(OR('Pomiary'!C10="NOT_RUN",'Pomiary'!C10=""),"",IF(ISNUMBER('Pomiary'!L10),1,0))</x:f>
      </x:c>
      <x:c r="D36" s="15" t="str">
        <x:f>IF(OR('Pomiary'!C10="NOT_RUN",'Pomiary'!C10=""),"",IF(ISNUMBER('Pomiary'!Z10),1,0))</x:f>
      </x:c>
    </x:row>
    <x:row r="37" ht="24" customHeight="1">
      <x:c r="A37" s="2" t="str">
        <x:v>3B</x:v>
      </x:c>
      <x:c r="B37" s="15" t="str">
        <x:f>IF(OR('Pomiary'!C11="NOT_RUN",'Pomiary'!C11=""),"",IF(ISNUMBER('Pomiary'!I11),1,0))</x:f>
      </x:c>
      <x:c r="C37" s="15" t="str">
        <x:f>IF(OR('Pomiary'!C11="NOT_RUN",'Pomiary'!C11=""),"",IF(ISNUMBER('Pomiary'!L11),1,0))</x:f>
      </x:c>
      <x:c r="D37" s="15" t="str">
        <x:f>IF(OR('Pomiary'!C11="NOT_RUN",'Pomiary'!C11=""),"",IF(ISNUMBER('Pomiary'!Z11),1,0))</x:f>
      </x:c>
    </x:row>
    <x:row r="38" ht="24" customHeight="1">
      <x:c r="A38" s="2"/>
      <x:c r="B38" s="2"/>
      <x:c r="C38" s="2"/>
      <x:c r="D38" s="2"/>
    </x:row>
  </x:sheetData>
  <x:conditionalFormatting sqref="B10:C10">
    <x:cfRule type="containsText" dxfId="4" priority="1" operator="containsText" text="Sprawdź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16B9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.110000133514404" hidden="0" customWidth="1"/>
    <x:col min="2" max="2" width="8.329999923706055" hidden="0" customWidth="1"/>
    <x:col min="3" max="3" width="11.109999656677246" hidden="0" customWidth="1"/>
    <x:col min="4" max="4" width="14.4399995803833" hidden="0" customWidth="1"/>
    <x:col min="5" max="5" width="26.670000076293945" hidden="0" customWidth="1"/>
    <x:col min="6" max="6" width="31.670000076293945" hidden="0" customWidth="1"/>
    <x:col min="7" max="7" width="10" hidden="0" customWidth="1"/>
    <x:col min="8" max="8" width="10" hidden="0" customWidth="1"/>
    <x:col min="9" max="9" width="11.109999656677246" hidden="0" customWidth="1"/>
    <x:col min="10" max="10" width="34.439998626708984" hidden="0" customWidth="1"/>
    <x:col min="11" max="11" width="12.779999732971191" hidden="0" customWidth="1"/>
    <x:col min="12" max="12" width="17.780000686645508" hidden="0" customWidth="1"/>
    <x:col min="13" max="13" width="13.329999923706055" hidden="0" customWidth="1"/>
    <x:col min="14" max="14" width="11.109999656677246" hidden="0" customWidth="1"/>
    <x:col min="15" max="15" width="11.670000076293945" hidden="0" customWidth="1"/>
    <x:col min="16" max="16" width="12.220000267028809" hidden="0" customWidth="1"/>
    <x:col min="17" max="17" width="12.220000267028809" hidden="0" customWidth="1"/>
    <x:col min="18" max="18" width="15.5600004196167" hidden="0" customWidth="1"/>
    <x:col min="19" max="19" width="15.5600004196167" hidden="0" customWidth="1"/>
    <x:col min="20" max="20" width="11.670000076293945" hidden="0" customWidth="1"/>
    <x:col min="21" max="21" width="13.329999923706055" hidden="0" customWidth="1"/>
    <x:col min="22" max="22" width="12.220000267028809" hidden="0" customWidth="1"/>
    <x:col min="23" max="23" width="12.220000267028809" hidden="0" customWidth="1"/>
    <x:col min="24" max="24" width="12.220000267028809" hidden="0" customWidth="1"/>
    <x:col min="25" max="25" width="13.329999923706055" hidden="0" customWidth="1"/>
    <x:col min="26" max="26" width="15.5600004196167" hidden="0" customWidth="1"/>
    <x:col min="27" max="27" width="30.559999465942383" hidden="0" customWidth="1"/>
    <x:col min="28" max="28" width="37.7799987792968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4" customHeight="1">
      <x:c r="A2" s="3" t="str">
        <x:v>Pomiary sześciu prób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4" customHeight="1">
      <x:c r="A3" s="4" t="str">
        <x:v>Każda para ma ten sam stan początkowy. Kolejność skopiuj z manifestu. Wpisuj rzeczywiste liczby, pozostaw nieznane pola puste.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4" customHeight="1">
      <x:c r="A4" s="19" t="str">
        <x:v>Kontekst próby</x:v>
      </x:c>
      <x:c r="B4" s="19"/>
      <x:c r="C4" s="19"/>
      <x:c r="D4" s="19"/>
      <x:c r="E4" s="19"/>
      <x:c r="F4" s="19"/>
      <x:c r="G4" s="19" t="str">
        <x:v>Pomiar credits</x:v>
      </x:c>
      <x:c r="H4" s="19"/>
      <x:c r="I4" s="19"/>
      <x:c r="J4" s="19"/>
      <x:c r="K4" s="19" t="str">
        <x:v>Czas i obsługa</x:v>
      </x:c>
      <x:c r="L4" s="19"/>
      <x:c r="M4" s="19"/>
      <x:c r="N4" s="19"/>
      <x:c r="O4" s="19"/>
      <x:c r="P4" s="19" t="str">
        <x:v>Weryfikacja</x:v>
      </x:c>
      <x:c r="Q4" s="19"/>
      <x:c r="R4" s="19"/>
      <x:c r="S4" s="19"/>
      <x:c r="T4" s="19"/>
      <x:c r="U4" s="19" t="str">
        <x:v>Jakość kodu</x:v>
      </x:c>
      <x:c r="V4" s="19"/>
      <x:c r="W4" s="19"/>
      <x:c r="X4" s="19"/>
      <x:c r="Y4" s="19"/>
      <x:c r="Z4" s="19"/>
      <x:c r="AA4" s="19" t="str">
        <x:v>Dowody i uwagi</x:v>
      </x:c>
      <x:c r="AB4" s="19"/>
    </x:row>
    <x:row r="5" ht="46" customHeight="1">
      <x:c r="A5" s="27" t="str">
        <x:v>Para</x:v>
      </x:c>
      <x:c r="B5" s="28" t="str">
        <x:v>Wariant</x:v>
      </x:c>
      <x:c r="C5" s="28" t="str">
        <x:v>Status</x:v>
      </x:c>
      <x:c r="D5" s="28" t="str">
        <x:v>Kolejność
wykonania</x:v>
      </x:c>
      <x:c r="E5" s="28" t="str">
        <x:v>Wersja
początkowa</x:v>
      </x:c>
      <x:c r="F5" s="28" t="str">
        <x:v>Modele faktycznie
użyte</x:v>
      </x:c>
      <x:c r="G5" s="28" t="str">
        <x:v>Credits
przed</x:v>
      </x:c>
      <x:c r="H5" s="28" t="str">
        <x:v>Credits
po</x:v>
      </x:c>
      <x:c r="I5" s="28" t="str">
        <x:v>Zużyte
credits</x:v>
      </x:c>
      <x:c r="J5" s="28" t="str">
        <x:v>Źródło pomiaru
credits</x:v>
      </x:c>
      <x:c r="K5" s="28" t="str">
        <x:v>Czas agenta
(min)</x:v>
      </x:c>
      <x:c r="L5" s="28" t="str">
        <x:v>Czas do weryfikacji
(min)</x:v>
      </x:c>
      <x:c r="M5" s="28" t="str">
        <x:v>Interwencje
człowieka</x:v>
      </x:c>
      <x:c r="N5" s="28" t="str">
        <x:v>Prośby
o zgodę</x:v>
      </x:c>
      <x:c r="O5" s="28" t="str">
        <x:v>Rundy
poprawek</x:v>
      </x:c>
      <x:c r="P5" s="28" t="str">
        <x:v>Testy
API</x:v>
      </x:c>
      <x:c r="Q5" s="28" t="str">
        <x:v>Testy
UI</x:v>
      </x:c>
      <x:c r="R5" s="28" t="str">
        <x:v>Pozostałe błędy
poważne</x:v>
      </x:c>
      <x:c r="S5" s="28" t="str">
        <x:v>Pozostałe błędy
drobne</x:v>
      </x:c>
      <x:c r="T5" s="28" t="str">
        <x:v>Akceptacja</x:v>
      </x:c>
      <x:c r="U5" s="28" t="str">
        <x:v>Jakość
architektury</x:v>
      </x:c>
      <x:c r="V5" s="28" t="str">
        <x:v>Jakość
typów</x:v>
      </x:c>
      <x:c r="W5" s="28" t="str">
        <x:v>Obsługa
błędów</x:v>
      </x:c>
      <x:c r="X5" s="28" t="str">
        <x:v>Jakość
testów</x:v>
      </x:c>
      <x:c r="Y5" s="28" t="str">
        <x:v>Zgodność
zakresu</x:v>
      </x:c>
      <x:c r="Z5" s="28" t="str">
        <x:v>Jakość
łącznie (0–10)</x:v>
      </x:c>
      <x:c r="AA5" s="28" t="str">
        <x:v>Plik ze śladem
wykonania</x:v>
      </x:c>
      <x:c r="AB5" s="29" t="str">
        <x:v>Uwagi</x:v>
      </x:c>
    </x:row>
    <x:row r="6" ht="29" customHeight="1">
      <x:c r="A6" s="36" t="n">
        <x:v>1</x:v>
      </x:c>
      <x:c r="B6" s="17" t="str">
        <x:v>A</x:v>
      </x:c>
      <x:c r="C6" s="21" t="str">
        <x:v>NOT_RUN</x:v>
      </x:c>
      <x:c r="D6" s="21"/>
      <x:c r="E6" s="21"/>
      <x:c r="F6" s="21"/>
      <x:c r="G6" s="34"/>
      <x:c r="H6" s="34"/>
      <x:c r="I6" s="35" t="str">
        <x:f>IF(AND(ISNUMBER(G6),ISNUMBER(H6)),H6-G6,"")</x:f>
      </x:c>
      <x:c r="J6" s="21"/>
      <x:c r="K6" s="34"/>
      <x:c r="L6" s="34"/>
      <x:c r="M6" s="37"/>
      <x:c r="N6" s="37"/>
      <x:c r="O6" s="37"/>
      <x:c r="P6" s="21"/>
      <x:c r="Q6" s="21"/>
      <x:c r="R6" s="37"/>
      <x:c r="S6" s="37"/>
      <x:c r="T6" s="21"/>
      <x:c r="U6" s="37"/>
      <x:c r="V6" s="37"/>
      <x:c r="W6" s="37"/>
      <x:c r="X6" s="37"/>
      <x:c r="Y6" s="37"/>
      <x:c r="Z6" s="38" t="str">
        <x:f>IF(COUNT(U6:Y6)=5,SUM(U6:Y6),"")</x:f>
      </x:c>
      <x:c r="AA6" s="21"/>
      <x:c r="AB6" s="21"/>
    </x:row>
    <x:row r="7" ht="29" customHeight="1">
      <x:c r="A7" s="36" t="n">
        <x:v>1</x:v>
      </x:c>
      <x:c r="B7" s="17" t="str">
        <x:v>B</x:v>
      </x:c>
      <x:c r="C7" s="21" t="str">
        <x:v>NOT_RUN</x:v>
      </x:c>
      <x:c r="D7" s="21"/>
      <x:c r="E7" s="21"/>
      <x:c r="F7" s="21"/>
      <x:c r="G7" s="34"/>
      <x:c r="H7" s="34"/>
      <x:c r="I7" s="35" t="str">
        <x:f>IF(AND(ISNUMBER(G7),ISNUMBER(H7)),H7-G7,"")</x:f>
      </x:c>
      <x:c r="J7" s="21"/>
      <x:c r="K7" s="34"/>
      <x:c r="L7" s="34"/>
      <x:c r="M7" s="37"/>
      <x:c r="N7" s="37"/>
      <x:c r="O7" s="37"/>
      <x:c r="P7" s="21"/>
      <x:c r="Q7" s="21"/>
      <x:c r="R7" s="37"/>
      <x:c r="S7" s="37"/>
      <x:c r="T7" s="21"/>
      <x:c r="U7" s="37"/>
      <x:c r="V7" s="37"/>
      <x:c r="W7" s="37"/>
      <x:c r="X7" s="37"/>
      <x:c r="Y7" s="37"/>
      <x:c r="Z7" s="38" t="str">
        <x:f>IF(COUNT(U7:Y7)=5,SUM(U7:Y7),"")</x:f>
      </x:c>
      <x:c r="AA7" s="21"/>
      <x:c r="AB7" s="21"/>
    </x:row>
    <x:row r="8" ht="29" customHeight="1">
      <x:c r="A8" s="36" t="n">
        <x:v>2</x:v>
      </x:c>
      <x:c r="B8" s="17" t="str">
        <x:v>A</x:v>
      </x:c>
      <x:c r="C8" s="21" t="str">
        <x:v>NOT_RUN</x:v>
      </x:c>
      <x:c r="D8" s="21"/>
      <x:c r="E8" s="21"/>
      <x:c r="F8" s="21"/>
      <x:c r="G8" s="34"/>
      <x:c r="H8" s="34"/>
      <x:c r="I8" s="35" t="str">
        <x:f>IF(AND(ISNUMBER(G8),ISNUMBER(H8)),H8-G8,"")</x:f>
      </x:c>
      <x:c r="J8" s="21"/>
      <x:c r="K8" s="34"/>
      <x:c r="L8" s="34"/>
      <x:c r="M8" s="37"/>
      <x:c r="N8" s="37"/>
      <x:c r="O8" s="37"/>
      <x:c r="P8" s="21"/>
      <x:c r="Q8" s="21"/>
      <x:c r="R8" s="37"/>
      <x:c r="S8" s="37"/>
      <x:c r="T8" s="21"/>
      <x:c r="U8" s="37"/>
      <x:c r="V8" s="37"/>
      <x:c r="W8" s="37"/>
      <x:c r="X8" s="37"/>
      <x:c r="Y8" s="37"/>
      <x:c r="Z8" s="38" t="str">
        <x:f>IF(COUNT(U8:Y8)=5,SUM(U8:Y8),"")</x:f>
      </x:c>
      <x:c r="AA8" s="21"/>
      <x:c r="AB8" s="21"/>
    </x:row>
    <x:row r="9" ht="29" customHeight="1">
      <x:c r="A9" s="36" t="n">
        <x:v>2</x:v>
      </x:c>
      <x:c r="B9" s="17" t="str">
        <x:v>B</x:v>
      </x:c>
      <x:c r="C9" s="21" t="str">
        <x:v>NOT_RUN</x:v>
      </x:c>
      <x:c r="D9" s="21"/>
      <x:c r="E9" s="21"/>
      <x:c r="F9" s="21"/>
      <x:c r="G9" s="34"/>
      <x:c r="H9" s="34"/>
      <x:c r="I9" s="35" t="str">
        <x:f>IF(AND(ISNUMBER(G9),ISNUMBER(H9)),H9-G9,"")</x:f>
      </x:c>
      <x:c r="J9" s="21"/>
      <x:c r="K9" s="34"/>
      <x:c r="L9" s="34"/>
      <x:c r="M9" s="37"/>
      <x:c r="N9" s="37"/>
      <x:c r="O9" s="37"/>
      <x:c r="P9" s="21"/>
      <x:c r="Q9" s="21"/>
      <x:c r="R9" s="37"/>
      <x:c r="S9" s="37"/>
      <x:c r="T9" s="21"/>
      <x:c r="U9" s="37"/>
      <x:c r="V9" s="37"/>
      <x:c r="W9" s="37"/>
      <x:c r="X9" s="37"/>
      <x:c r="Y9" s="37"/>
      <x:c r="Z9" s="38" t="str">
        <x:f>IF(COUNT(U9:Y9)=5,SUM(U9:Y9),"")</x:f>
      </x:c>
      <x:c r="AA9" s="21"/>
      <x:c r="AB9" s="21"/>
    </x:row>
    <x:row r="10" ht="29" customHeight="1">
      <x:c r="A10" s="36" t="n">
        <x:v>3</x:v>
      </x:c>
      <x:c r="B10" s="17" t="str">
        <x:v>A</x:v>
      </x:c>
      <x:c r="C10" s="21" t="str">
        <x:v>NOT_RUN</x:v>
      </x:c>
      <x:c r="D10" s="21"/>
      <x:c r="E10" s="21"/>
      <x:c r="F10" s="21"/>
      <x:c r="G10" s="34"/>
      <x:c r="H10" s="34"/>
      <x:c r="I10" s="35" t="str">
        <x:f>IF(AND(ISNUMBER(G10),ISNUMBER(H10)),H10-G10,"")</x:f>
      </x:c>
      <x:c r="J10" s="21"/>
      <x:c r="K10" s="34"/>
      <x:c r="L10" s="34"/>
      <x:c r="M10" s="37"/>
      <x:c r="N10" s="37"/>
      <x:c r="O10" s="37"/>
      <x:c r="P10" s="21"/>
      <x:c r="Q10" s="21"/>
      <x:c r="R10" s="37"/>
      <x:c r="S10" s="37"/>
      <x:c r="T10" s="21"/>
      <x:c r="U10" s="37"/>
      <x:c r="V10" s="37"/>
      <x:c r="W10" s="37"/>
      <x:c r="X10" s="37"/>
      <x:c r="Y10" s="37"/>
      <x:c r="Z10" s="38" t="str">
        <x:f>IF(COUNT(U10:Y10)=5,SUM(U10:Y10),"")</x:f>
      </x:c>
      <x:c r="AA10" s="21"/>
      <x:c r="AB10" s="21"/>
    </x:row>
    <x:row r="11" ht="29" customHeight="1">
      <x:c r="A11" s="36" t="n">
        <x:v>3</x:v>
      </x:c>
      <x:c r="B11" s="17" t="str">
        <x:v>B</x:v>
      </x:c>
      <x:c r="C11" s="21" t="str">
        <x:v>NOT_RUN</x:v>
      </x:c>
      <x:c r="D11" s="21"/>
      <x:c r="E11" s="21"/>
      <x:c r="F11" s="21"/>
      <x:c r="G11" s="34"/>
      <x:c r="H11" s="34"/>
      <x:c r="I11" s="35" t="str">
        <x:f>IF(AND(ISNUMBER(G11),ISNUMBER(H11)),H11-G11,"")</x:f>
      </x:c>
      <x:c r="J11" s="21"/>
      <x:c r="K11" s="34"/>
      <x:c r="L11" s="34"/>
      <x:c r="M11" s="37"/>
      <x:c r="N11" s="37"/>
      <x:c r="O11" s="37"/>
      <x:c r="P11" s="21"/>
      <x:c r="Q11" s="21"/>
      <x:c r="R11" s="37"/>
      <x:c r="S11" s="37"/>
      <x:c r="T11" s="21"/>
      <x:c r="U11" s="37"/>
      <x:c r="V11" s="37"/>
      <x:c r="W11" s="37"/>
      <x:c r="X11" s="37"/>
      <x:c r="Y11" s="37"/>
      <x:c r="Z11" s="38" t="str">
        <x:f>IF(COUNT(U11:Y11)=5,SUM(U11:Y11),"")</x:f>
      </x:c>
      <x:c r="AA11" s="21"/>
      <x:c r="AB11" s="21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4" customHeight="1">
      <x:c r="A13" s="4" t="str">
        <x:v>Credits przed/po: rosnący licznik zużycia. Ujemna różnica wymaga wyjaśnienia.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4" customHeight="1">
      <x:c r="A14" s="4" t="str">
        <x:v>Jakość: pięć kryteriów po 0–2, ocenianych niezależnie. Szczegóły w protokole benchmarku.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4" customHeight="1">
      <x:c r="A15" s="4" t="str">
        <x:v>Jeśli znasz tylko koszt całej sesji, wpisz credits_used bezpośrednio w results.csv wraz ze źródłem pomiaru.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</x:sheetData>
  <x:conditionalFormatting sqref="I6:I11">
    <x:cfRule type="cellIs" dxfId="0" priority="1" operator="lessThan">
      <x:formula>0</x:formula>
    </x:cfRule>
  </x:conditionalFormatting>
  <x:conditionalFormatting sqref="C6:C11">
    <x:cfRule type="containsText" dxfId="1" priority="2" operator="containsText" text="FAILED"/>
    <x:cfRule type="containsText" dxfId="2" priority="3" operator="containsText" text="BLOCKED"/>
  </x:conditionalFormatting>
  <x:conditionalFormatting sqref="Z6:Z11">
    <x:cfRule type="cellIs" dxfId="3" priority="4" operator="greaterThan">
      <x:formula>10</x:formula>
    </x:cfRule>
  </x:conditionalFormatting>
  <x:dataValidations count="10">
    <x:dataValidation type="list" sqref="C6:C11">
      <x:formula1>"NOT_RUN,DONE,FAILED,BLOCKED"</x:formula1>
    </x:dataValidation>
    <x:dataValidation type="list" sqref="T6:T11">
      <x:formula1>"YES,NO"</x:formula1>
    </x:dataValidation>
    <x:dataValidation type="list" sqref="P6:P11">
      <x:formula1>"PASS,FAIL,PARTIAL,NOT_RUN"</x:formula1>
    </x:dataValidation>
    <x:dataValidation type="list" sqref="Q6:Q11">
      <x:formula1>"PASS,FAIL,PARTIAL,NOT_RUN"</x:formula1>
    </x:dataValidation>
    <x:dataValidation type="whole" operator="between" sqref="U6:Y11">
      <x:formula1>0</x:formula1>
      <x:formula2>2</x:formula2>
    </x:dataValidation>
    <x:dataValidation type="whole" operator="greaterThanOrEqual" sqref="M6:M11">
      <x:formula1>0</x:formula1>
    </x:dataValidation>
    <x:dataValidation type="whole" operator="greaterThanOrEqual" sqref="N6:N11">
      <x:formula1>0</x:formula1>
    </x:dataValidation>
    <x:dataValidation type="whole" operator="greaterThanOrEqual" sqref="O6:O11">
      <x:formula1>0</x:formula1>
    </x:dataValidation>
    <x:dataValidation type="whole" operator="greaterThanOrEqual" sqref="R6:R11">
      <x:formula1>0</x:formula1>
    </x:dataValidation>
    <x:dataValidation type="whole" operator="greaterThanOrEqual" sqref="S6:S1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5a2954ffaa4e31"/>
  </x:tableParts>
</x:worksheet>
</file>